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6ae121a82a744c2a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yThc\thc service\ExcelWorkbook1\ExcelWorkbook1\"/>
    </mc:Choice>
  </mc:AlternateContent>
  <bookViews>
    <workbookView xWindow="0" yWindow="0" windowWidth="19635" windowHeight="5295" activeTab="2"/>
  </bookViews>
  <sheets>
    <sheet name="Amerihome Input File 11-15-21" sheetId="1" r:id="rId1"/>
    <sheet name="Config" sheetId="2" r:id="rId2"/>
    <sheet name="PATH" sheetId="3" r:id="rId3"/>
    <sheet name="data" sheetId="4" state="hidden" r:id="rId4"/>
  </sheets>
  <definedNames>
    <definedName name="_xlnm._FilterDatabase" localSheetId="0" hidden="1">'Amerihome Input File 11-15-21'!$A$1:$AW$1</definedName>
  </definedNames>
  <calcPr calcId="162913"/>
</workbook>
</file>

<file path=xl/calcChain.xml><?xml version="1.0" encoding="utf-8"?>
<calcChain xmlns="http://schemas.openxmlformats.org/spreadsheetml/2006/main">
  <c r="A1" i="3" l="1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A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</calcChain>
</file>

<file path=xl/comments1.xml><?xml version="1.0" encoding="utf-8"?>
<comments xmlns="http://schemas.openxmlformats.org/spreadsheetml/2006/main">
  <authors>
    <author>lwm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 xml:space="preserve">CPR or THC
</t>
        </r>
      </text>
    </comment>
  </commentList>
</comments>
</file>

<file path=xl/sharedStrings.xml><?xml version="1.0" encoding="utf-8"?>
<sst xmlns="http://schemas.openxmlformats.org/spreadsheetml/2006/main" count="221" uniqueCount="163">
  <si>
    <t>LoanID</t>
  </si>
  <si>
    <t>Amortization Type</t>
  </si>
  <si>
    <t>Loan Type</t>
  </si>
  <si>
    <t>Note Date</t>
  </si>
  <si>
    <t>Loan Purpose</t>
  </si>
  <si>
    <t>Refi Program Type</t>
  </si>
  <si>
    <t>Property Type</t>
  </si>
  <si>
    <t>Documentation Type</t>
  </si>
  <si>
    <t xml:space="preserve"> Number of Units </t>
  </si>
  <si>
    <t>AUS</t>
  </si>
  <si>
    <t>AUS Recommendation</t>
  </si>
  <si>
    <t>Original Balance</t>
  </si>
  <si>
    <t>Current Actual Balance</t>
  </si>
  <si>
    <t>Current Gross Rate</t>
  </si>
  <si>
    <t xml:space="preserve"> Original Term </t>
  </si>
  <si>
    <t>First Payment Date</t>
  </si>
  <si>
    <t>Maturity Date</t>
  </si>
  <si>
    <t>Escrow Indicator</t>
  </si>
  <si>
    <t>Mortgage Insurance Indicator</t>
  </si>
  <si>
    <t xml:space="preserve"> Original Appraisal Type </t>
  </si>
  <si>
    <t xml:space="preserve"> Borrower Original FICO </t>
  </si>
  <si>
    <t>Original LTV</t>
  </si>
  <si>
    <t>Original DTI</t>
  </si>
  <si>
    <t xml:space="preserve"> Property Address </t>
  </si>
  <si>
    <t xml:space="preserve"> Property City </t>
  </si>
  <si>
    <t xml:space="preserve"> Property State </t>
  </si>
  <si>
    <t>Property Zipcode</t>
  </si>
  <si>
    <t>County Code</t>
  </si>
  <si>
    <t>Property MSA Code</t>
  </si>
  <si>
    <t>Fips County Code</t>
  </si>
  <si>
    <t xml:space="preserve"> Property County </t>
  </si>
  <si>
    <t>Census Tract ID</t>
  </si>
  <si>
    <t xml:space="preserve"> Cencus Tract Minority Ratio </t>
  </si>
  <si>
    <t xml:space="preserve"> Cencus Tract Minority Type </t>
  </si>
  <si>
    <t xml:space="preserve"> Borrower Monthly Income </t>
  </si>
  <si>
    <t xml:space="preserve"> Cencus Tract Income Ratio </t>
  </si>
  <si>
    <t xml:space="preserve"> Cencus Tract Income Type </t>
  </si>
  <si>
    <t xml:space="preserve"> Borrower Income Ratio </t>
  </si>
  <si>
    <t xml:space="preserve"> Borrower Income Type </t>
  </si>
  <si>
    <t>State Payup</t>
  </si>
  <si>
    <t>LLB Payup</t>
  </si>
  <si>
    <t>CRA Payup</t>
  </si>
  <si>
    <t>Indicative TBA Price</t>
  </si>
  <si>
    <t xml:space="preserve"> Total Payup Over TBA </t>
  </si>
  <si>
    <t xml:space="preserve"> Indicative Offering Price </t>
  </si>
  <si>
    <t>Indicative Offering Yield</t>
  </si>
  <si>
    <t xml:space="preserve"> CPR </t>
  </si>
  <si>
    <t xml:space="preserve"> WAL </t>
  </si>
  <si>
    <t xml:space="preserve"> Swap Spread </t>
  </si>
  <si>
    <t xml:space="preserve"> Fixed Rate </t>
  </si>
  <si>
    <t xml:space="preserve"> Conf </t>
  </si>
  <si>
    <t xml:space="preserve"> Refi </t>
  </si>
  <si>
    <t xml:space="preserve"> Na </t>
  </si>
  <si>
    <t xml:space="preserve"> SingleFamily </t>
  </si>
  <si>
    <t xml:space="preserve"> Full </t>
  </si>
  <si>
    <t xml:space="preserve"> Du </t>
  </si>
  <si>
    <t xml:space="preserve"> ApproveElig </t>
  </si>
  <si>
    <t xml:space="preserve"> 918 W Saint John Rd </t>
  </si>
  <si>
    <t xml:space="preserve"> Phoenix </t>
  </si>
  <si>
    <t xml:space="preserve"> AZ </t>
  </si>
  <si>
    <t xml:space="preserve"> Maricopa </t>
  </si>
  <si>
    <t xml:space="preserve"> 3) Lower Middle (20-49%) </t>
  </si>
  <si>
    <t xml:space="preserve"> Moderate </t>
  </si>
  <si>
    <t xml:space="preserve"> -   </t>
  </si>
  <si>
    <t xml:space="preserve"> Purchase </t>
  </si>
  <si>
    <t xml:space="preserve"> Pud </t>
  </si>
  <si>
    <t xml:space="preserve"> Lp </t>
  </si>
  <si>
    <t xml:space="preserve"> AcceptElig </t>
  </si>
  <si>
    <t xml:space="preserve"> 3560 FREE SPIRIT CT </t>
  </si>
  <si>
    <t xml:space="preserve"> WESTFIELD </t>
  </si>
  <si>
    <t xml:space="preserve"> IN </t>
  </si>
  <si>
    <t xml:space="preserve"> Hamilton </t>
  </si>
  <si>
    <t xml:space="preserve"> 1) Very Low (&lt; 10%) </t>
  </si>
  <si>
    <t xml:space="preserve"> High </t>
  </si>
  <si>
    <t>B001</t>
  </si>
  <si>
    <t>B004</t>
  </si>
  <si>
    <t>Loan ID</t>
  </si>
  <si>
    <t>B008</t>
  </si>
  <si>
    <t>B006</t>
  </si>
  <si>
    <t>T213</t>
  </si>
  <si>
    <t>T094</t>
  </si>
  <si>
    <t>T139</t>
  </si>
  <si>
    <t>Principal</t>
  </si>
  <si>
    <t>Property City</t>
  </si>
  <si>
    <t>Property State</t>
  </si>
  <si>
    <t>ZIPCode</t>
  </si>
  <si>
    <t>T033</t>
  </si>
  <si>
    <t>B043</t>
  </si>
  <si>
    <t>T021</t>
  </si>
  <si>
    <t>Issue Date/Age</t>
  </si>
  <si>
    <t>Transaction Price</t>
  </si>
  <si>
    <t>Amortization Term</t>
  </si>
  <si>
    <t>B025</t>
  </si>
  <si>
    <t>T030</t>
  </si>
  <si>
    <t>Model</t>
  </si>
  <si>
    <t>D004</t>
  </si>
  <si>
    <t>Servicing Fee/Cost(BP)</t>
  </si>
  <si>
    <t>B007</t>
  </si>
  <si>
    <t>Coupon Rate</t>
  </si>
  <si>
    <t>T002</t>
  </si>
  <si>
    <t>Index</t>
  </si>
  <si>
    <t>T001</t>
  </si>
  <si>
    <t>Margin(BP)</t>
  </si>
  <si>
    <t>T036</t>
  </si>
  <si>
    <t>WAOLS</t>
  </si>
  <si>
    <t>T214</t>
  </si>
  <si>
    <t>T031</t>
  </si>
  <si>
    <t>T032</t>
  </si>
  <si>
    <t>T199</t>
  </si>
  <si>
    <t>FICO Score</t>
  </si>
  <si>
    <t>T034</t>
  </si>
  <si>
    <t>Recovery Ratio</t>
  </si>
  <si>
    <t>CPR</t>
  </si>
  <si>
    <t>Structural CPR(%)</t>
  </si>
  <si>
    <t>T215</t>
  </si>
  <si>
    <t>T219</t>
  </si>
  <si>
    <t>Doc Type</t>
  </si>
  <si>
    <t>LTV</t>
  </si>
  <si>
    <t>DTI</t>
  </si>
  <si>
    <t>user</t>
  </si>
  <si>
    <t>pass</t>
  </si>
  <si>
    <t>joey.chen.thc</t>
  </si>
  <si>
    <t>joey123</t>
  </si>
  <si>
    <t>Service Retained</t>
  </si>
  <si>
    <t>Y</t>
  </si>
  <si>
    <t>More configs</t>
  </si>
  <si>
    <t>THC Types</t>
  </si>
  <si>
    <t>Auto Loan</t>
  </si>
  <si>
    <t>THC</t>
  </si>
  <si>
    <t xml:space="preserve"> </t>
  </si>
  <si>
    <t>SF Mtg Loan</t>
  </si>
  <si>
    <t>1-4 Fam Construction</t>
  </si>
  <si>
    <t>Multi-family Mortgage</t>
  </si>
  <si>
    <t>Construction and Land Loan</t>
  </si>
  <si>
    <t>2ND MORTGAGE</t>
  </si>
  <si>
    <t>HELOC</t>
  </si>
  <si>
    <t>Agricultural loan</t>
  </si>
  <si>
    <t>Comm non-OCC Mtge</t>
  </si>
  <si>
    <t>Comm OCC Mtge</t>
  </si>
  <si>
    <t>LNS to States</t>
  </si>
  <si>
    <t>Commercial Loan</t>
  </si>
  <si>
    <t>SBA 7a</t>
  </si>
  <si>
    <t>CommercialIndustrial</t>
  </si>
  <si>
    <t>SBA 504</t>
  </si>
  <si>
    <t>Commercial Mortgage</t>
  </si>
  <si>
    <t>Farm Land</t>
  </si>
  <si>
    <t>LOC</t>
  </si>
  <si>
    <t>Commercial LOC</t>
  </si>
  <si>
    <t>Boat Loan</t>
  </si>
  <si>
    <t>Auto loans and leases</t>
  </si>
  <si>
    <t>Mobile home loans</t>
  </si>
  <si>
    <t>Recreational Vehicle Loan</t>
  </si>
  <si>
    <t>Mobile Home Loan</t>
  </si>
  <si>
    <t>Pre-Owned Mobile Home Loan</t>
  </si>
  <si>
    <t>Education Loan</t>
  </si>
  <si>
    <t>Personal Loan</t>
  </si>
  <si>
    <t>Personal LOC</t>
  </si>
  <si>
    <t>Credit Card</t>
  </si>
  <si>
    <t>UnSecured Home Improvement Loan</t>
  </si>
  <si>
    <t>Deposit Loan</t>
  </si>
  <si>
    <t>Consumer Loan</t>
  </si>
  <si>
    <t>Selfvalued</t>
  </si>
  <si>
    <t>Motorcycle loan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</si>
</sst>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0" fontId="0" fillId="33" borderId="0" xfId="0" applyFill="1"/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0" fontId="0" fillId="34" borderId="0" xfId="0" applyFill="1"/>
    <xf numFmtId="0" fontId="0" fillId="34" borderId="0" xfId="0" applyFill="1" applyAlignment="1">
      <alignment wrapText="1"/>
    </xf>
    <xf numFmtId="0" fontId="0" fillId="35" borderId="0" xfId="0" applyFill="1"/>
    <xf numFmtId="0" fontId="0" fillId="35" borderId="0" xfId="0" applyFill="1" applyAlignment="1">
      <alignment wrapText="1"/>
    </xf>
    <xf numFmtId="0" fontId="0" fillId="0" borderId="10" xfId="0" applyBorder="1"/>
    <xf numFmtId="0" fontId="0" fillId="35" borderId="10" xfId="0" applyFill="1" applyBorder="1"/>
    <xf numFmtId="0" fontId="0" fillId="34" borderId="10" xfId="0" applyFill="1" applyBorder="1"/>
    <xf numFmtId="0" fontId="0" fillId="35" borderId="10" xfId="0" applyFill="1" applyBorder="1" applyAlignment="1">
      <alignment wrapText="1"/>
    </xf>
    <xf numFmtId="0" fontId="0" fillId="34" borderId="10" xfId="0" applyFill="1" applyBorder="1" applyAlignment="1">
      <alignment wrapText="1"/>
    </xf>
    <xf numFmtId="0" fontId="0" fillId="0" borderId="10" xfId="0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6" borderId="10" xfId="0" applyFill="1" applyBorder="1" applyAlignment="1">
      <alignment wrapText="1"/>
    </xf>
    <xf numFmtId="0" fontId="0" fillId="0" borderId="0" xfId="0" applyFill="1" applyBorder="1"/>
    <xf numFmtId="0" fontId="0" fillId="35" borderId="11" xfId="0" applyFill="1" applyBorder="1" applyAlignment="1">
      <alignment horizontal="center" wrapText="1"/>
    </xf>
    <xf numFmtId="2" fontId="0" fillId="0" borderId="10" xfId="0" applyNumberFormat="1" applyBorder="1" applyAlignment="1">
      <alignment wrapText="1"/>
    </xf>
    <xf numFmtId="0" fontId="0" fillId="35" borderId="11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6" borderId="12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calcChain.xml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worksheets/sheet4.xml" Id="rId4" /><Relationship Type="http://schemas.microsoft.com/office/2006/relationships/vbaProject" Target="vbaProject.bin" Id="rId9" /><Relationship Type="http://schemas.openxmlformats.org/officeDocument/2006/relationships/customXml" Target="../vstoDataStore/item1.xml" Id="Re9e465fd85b548b1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47625</xdr:rowOff>
        </xdr:from>
        <xdr:to>
          <xdr:col>5</xdr:col>
          <xdr:colOff>504825</xdr:colOff>
          <xdr:row>10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the PATH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3"/>
  <sheetViews>
    <sheetView topLeftCell="H1" workbookViewId="0">
      <selection activeCell="H1" sqref="H1"/>
    </sheetView>
  </sheetViews>
  <sheetFormatPr defaultRowHeight="15" x14ac:dyDescent="0.25"/>
  <cols>
    <col min="2" max="2" width="13.42578125" customWidth="1"/>
    <col min="4" max="4" width="10.7109375" bestFit="1" customWidth="1"/>
    <col min="12" max="12" width="15.42578125" bestFit="1" customWidth="1"/>
    <col min="13" max="13" width="15.28515625" customWidth="1"/>
    <col min="16" max="16" width="14.140625" customWidth="1"/>
    <col min="17" max="17" width="13.28515625" bestFit="1" customWidth="1"/>
    <col min="20" max="20" width="14.7109375" customWidth="1"/>
    <col min="22" max="22" width="11.5703125" bestFit="1" customWidth="1"/>
    <col min="23" max="23" width="11.28515625" bestFit="1" customWidth="1"/>
    <col min="45" max="45" width="17.28515625" customWidth="1"/>
  </cols>
  <sheetData>
    <row r="1" spans="1:49" x14ac:dyDescent="0.25">
      <c r="A1" s="4" t="s">
        <v>0</v>
      </c>
      <c r="B1" t="s">
        <v>1</v>
      </c>
      <c r="C1" t="s">
        <v>2</v>
      </c>
      <c r="D1" s="4" t="s">
        <v>3</v>
      </c>
      <c r="E1" s="4" t="s">
        <v>4</v>
      </c>
      <c r="F1" t="s">
        <v>5</v>
      </c>
      <c r="G1" s="4" t="s">
        <v>6</v>
      </c>
      <c r="H1" s="4" t="s">
        <v>7</v>
      </c>
      <c r="I1" t="s">
        <v>8</v>
      </c>
      <c r="J1" t="s">
        <v>9</v>
      </c>
      <c r="K1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t="s">
        <v>15</v>
      </c>
      <c r="Q1" s="4" t="s">
        <v>16</v>
      </c>
      <c r="R1" t="s">
        <v>17</v>
      </c>
      <c r="S1" t="s">
        <v>18</v>
      </c>
      <c r="T1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s="4" t="s">
        <v>44</v>
      </c>
      <c r="AT1" t="s">
        <v>45</v>
      </c>
      <c r="AU1" s="4" t="s">
        <v>46</v>
      </c>
      <c r="AV1" t="s">
        <v>47</v>
      </c>
      <c r="AW1" t="s">
        <v>48</v>
      </c>
    </row>
    <row r="2" spans="1:49" x14ac:dyDescent="0.25">
      <c r="A2">
        <v>1394206</v>
      </c>
      <c r="B2" t="s">
        <v>49</v>
      </c>
      <c r="C2" t="s">
        <v>50</v>
      </c>
      <c r="D2" s="1">
        <v>44504</v>
      </c>
      <c r="E2" t="s">
        <v>51</v>
      </c>
      <c r="F2" t="s">
        <v>52</v>
      </c>
      <c r="G2" t="s">
        <v>53</v>
      </c>
      <c r="H2" t="s">
        <v>54</v>
      </c>
      <c r="I2">
        <v>1</v>
      </c>
      <c r="J2" t="s">
        <v>55</v>
      </c>
      <c r="K2" t="s">
        <v>56</v>
      </c>
      <c r="L2" s="2">
        <v>101000</v>
      </c>
      <c r="M2" s="2">
        <v>101000</v>
      </c>
      <c r="N2" s="3">
        <v>2.5000000000000001E-2</v>
      </c>
      <c r="O2">
        <v>180</v>
      </c>
      <c r="P2" s="1">
        <v>44562</v>
      </c>
      <c r="Q2" s="1">
        <v>50010</v>
      </c>
      <c r="R2" t="b">
        <v>1</v>
      </c>
      <c r="S2" t="b">
        <v>0</v>
      </c>
      <c r="T2" t="s">
        <v>54</v>
      </c>
      <c r="U2">
        <v>719</v>
      </c>
      <c r="V2" s="3">
        <v>0.30599999999999999</v>
      </c>
      <c r="W2" s="3">
        <v>0.29899999999999999</v>
      </c>
      <c r="X2" t="s">
        <v>57</v>
      </c>
      <c r="Y2" t="s">
        <v>58</v>
      </c>
      <c r="Z2" t="s">
        <v>59</v>
      </c>
      <c r="AA2">
        <v>85023</v>
      </c>
      <c r="AB2">
        <v>4013</v>
      </c>
      <c r="AC2">
        <v>38060</v>
      </c>
      <c r="AD2">
        <v>13</v>
      </c>
      <c r="AE2" t="s">
        <v>60</v>
      </c>
      <c r="AG2">
        <v>43.18</v>
      </c>
      <c r="AH2" t="s">
        <v>61</v>
      </c>
      <c r="AI2" s="2">
        <v>4362.83</v>
      </c>
      <c r="AJ2">
        <v>52.11</v>
      </c>
      <c r="AK2" t="s">
        <v>62</v>
      </c>
      <c r="AL2">
        <v>75.25</v>
      </c>
      <c r="AM2" t="s">
        <v>62</v>
      </c>
      <c r="AN2" t="s">
        <v>63</v>
      </c>
      <c r="AO2">
        <v>2.5</v>
      </c>
      <c r="AP2">
        <v>1.75</v>
      </c>
      <c r="AQ2">
        <v>103.51600000000001</v>
      </c>
      <c r="AR2">
        <v>4.25</v>
      </c>
      <c r="AS2">
        <v>107.76600000000001</v>
      </c>
      <c r="AT2" s="3">
        <v>7.5500000000000003E-3</v>
      </c>
      <c r="AU2">
        <v>12</v>
      </c>
      <c r="AV2">
        <v>4.5999999999999996</v>
      </c>
      <c r="AW2">
        <v>-53</v>
      </c>
    </row>
    <row r="3" spans="1:49" x14ac:dyDescent="0.25">
      <c r="A3">
        <v>1417836</v>
      </c>
      <c r="B3" t="s">
        <v>49</v>
      </c>
      <c r="C3" t="s">
        <v>50</v>
      </c>
      <c r="D3" s="1">
        <v>44495</v>
      </c>
      <c r="E3" t="s">
        <v>64</v>
      </c>
      <c r="F3" t="s">
        <v>52</v>
      </c>
      <c r="G3" t="s">
        <v>65</v>
      </c>
      <c r="H3" t="s">
        <v>54</v>
      </c>
      <c r="I3">
        <v>1</v>
      </c>
      <c r="J3" t="s">
        <v>66</v>
      </c>
      <c r="K3" t="s">
        <v>67</v>
      </c>
      <c r="L3" s="2">
        <v>95945</v>
      </c>
      <c r="M3" s="2">
        <v>95945</v>
      </c>
      <c r="N3" s="3">
        <v>2.5000000000000001E-2</v>
      </c>
      <c r="O3">
        <v>180</v>
      </c>
      <c r="P3" s="1">
        <v>44531</v>
      </c>
      <c r="Q3" s="1">
        <v>49980</v>
      </c>
      <c r="R3" t="b">
        <v>0</v>
      </c>
      <c r="S3" t="b">
        <v>0</v>
      </c>
      <c r="T3" t="s">
        <v>54</v>
      </c>
      <c r="U3">
        <v>762</v>
      </c>
      <c r="V3" s="3">
        <v>0.26800000000000002</v>
      </c>
      <c r="W3" s="3">
        <v>0.379</v>
      </c>
      <c r="X3" t="s">
        <v>68</v>
      </c>
      <c r="Y3" t="s">
        <v>69</v>
      </c>
      <c r="Z3" t="s">
        <v>70</v>
      </c>
      <c r="AA3">
        <v>46074</v>
      </c>
      <c r="AB3">
        <v>18057</v>
      </c>
      <c r="AC3">
        <v>26900</v>
      </c>
      <c r="AD3">
        <v>57</v>
      </c>
      <c r="AE3" t="s">
        <v>71</v>
      </c>
      <c r="AG3">
        <v>8.2899999999999991</v>
      </c>
      <c r="AH3" t="s">
        <v>72</v>
      </c>
      <c r="AI3" s="2">
        <v>3478.75</v>
      </c>
      <c r="AJ3">
        <v>180.49</v>
      </c>
      <c r="AK3" t="s">
        <v>73</v>
      </c>
      <c r="AL3">
        <v>55.93</v>
      </c>
      <c r="AM3" t="s">
        <v>62</v>
      </c>
      <c r="AN3" t="s">
        <v>63</v>
      </c>
      <c r="AO3">
        <v>2.5</v>
      </c>
      <c r="AP3">
        <v>1.75</v>
      </c>
      <c r="AQ3">
        <v>103.51600000000001</v>
      </c>
      <c r="AR3">
        <v>4.25</v>
      </c>
      <c r="AS3">
        <v>107.76600000000001</v>
      </c>
      <c r="AT3" s="3">
        <v>7.5500000000000003E-3</v>
      </c>
      <c r="AU3">
        <v>12</v>
      </c>
      <c r="AV3">
        <v>4.5999999999999996</v>
      </c>
      <c r="AW3">
        <v>-53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11"/>
  <sheetViews>
    <sheetView workbookViewId="0">
      <selection activeCell="E6" sqref="E6"/>
    </sheetView>
  </sheetViews>
  <sheetFormatPr defaultRowHeight="15" x14ac:dyDescent="0.25"/>
  <cols>
    <col min="1" max="1" width="18.7109375" bestFit="1" customWidth="1"/>
    <col min="2" max="2" width="12.42578125" customWidth="1"/>
    <col min="5" max="5" width="10.140625" customWidth="1"/>
    <col min="6" max="6" width="10.28515625" customWidth="1"/>
    <col min="7" max="8" width="11.28515625" customWidth="1"/>
    <col min="9" max="9" width="11.7109375" customWidth="1"/>
    <col min="20" max="20" width="9.7109375" customWidth="1"/>
  </cols>
  <sheetData>
    <row r="1" spans="1:24" s="8" customFormat="1" ht="14.25" customHeight="1" x14ac:dyDescent="0.25">
      <c r="A1" s="25" t="s">
        <v>74</v>
      </c>
      <c r="B1" s="15" t="s">
        <v>93</v>
      </c>
      <c r="C1" s="15" t="s">
        <v>110</v>
      </c>
      <c r="D1" s="16" t="s">
        <v>75</v>
      </c>
      <c r="E1" s="16" t="s">
        <v>78</v>
      </c>
      <c r="F1" s="16" t="s">
        <v>86</v>
      </c>
      <c r="G1" s="16" t="s">
        <v>77</v>
      </c>
      <c r="H1" s="16" t="s">
        <v>88</v>
      </c>
      <c r="I1" s="16" t="s">
        <v>87</v>
      </c>
      <c r="J1" s="16" t="s">
        <v>92</v>
      </c>
      <c r="K1" s="16" t="s">
        <v>97</v>
      </c>
      <c r="L1" s="15" t="s">
        <v>95</v>
      </c>
      <c r="M1" s="25" t="s">
        <v>99</v>
      </c>
      <c r="N1" s="15" t="s">
        <v>101</v>
      </c>
      <c r="O1" s="16" t="s">
        <v>79</v>
      </c>
      <c r="P1" s="16" t="s">
        <v>80</v>
      </c>
      <c r="Q1" s="16" t="s">
        <v>81</v>
      </c>
      <c r="R1" s="16" t="s">
        <v>103</v>
      </c>
      <c r="S1" s="16" t="s">
        <v>105</v>
      </c>
      <c r="T1" s="16" t="s">
        <v>114</v>
      </c>
      <c r="U1" s="16" t="s">
        <v>115</v>
      </c>
      <c r="V1" s="16" t="s">
        <v>106</v>
      </c>
      <c r="W1" s="16" t="s">
        <v>107</v>
      </c>
      <c r="X1" s="16" t="s">
        <v>108</v>
      </c>
    </row>
    <row r="2" spans="1:24" s="5" customFormat="1" ht="45" x14ac:dyDescent="0.25">
      <c r="A2" s="23" t="s">
        <v>2</v>
      </c>
      <c r="B2" s="17" t="s">
        <v>94</v>
      </c>
      <c r="C2" s="17" t="s">
        <v>111</v>
      </c>
      <c r="D2" s="18" t="s">
        <v>76</v>
      </c>
      <c r="E2" s="18" t="s">
        <v>82</v>
      </c>
      <c r="F2" s="18" t="s">
        <v>89</v>
      </c>
      <c r="G2" s="18" t="s">
        <v>16</v>
      </c>
      <c r="H2" s="18" t="s">
        <v>91</v>
      </c>
      <c r="I2" s="18" t="s">
        <v>90</v>
      </c>
      <c r="J2" s="18" t="s">
        <v>113</v>
      </c>
      <c r="K2" s="18" t="s">
        <v>98</v>
      </c>
      <c r="L2" s="17" t="s">
        <v>96</v>
      </c>
      <c r="M2" s="23" t="s">
        <v>100</v>
      </c>
      <c r="N2" s="17" t="s">
        <v>102</v>
      </c>
      <c r="O2" s="18" t="s">
        <v>83</v>
      </c>
      <c r="P2" s="18" t="s">
        <v>84</v>
      </c>
      <c r="Q2" s="18" t="s">
        <v>85</v>
      </c>
      <c r="R2" s="18" t="s">
        <v>104</v>
      </c>
      <c r="S2" s="18" t="s">
        <v>4</v>
      </c>
      <c r="T2" s="18" t="s">
        <v>6</v>
      </c>
      <c r="U2" s="18" t="s">
        <v>116</v>
      </c>
      <c r="V2" s="18" t="s">
        <v>109</v>
      </c>
      <c r="W2" s="18" t="s">
        <v>117</v>
      </c>
      <c r="X2" s="18" t="s">
        <v>118</v>
      </c>
    </row>
    <row r="3" spans="1:24" s="5" customFormat="1" ht="51.75" customHeight="1" x14ac:dyDescent="0.25">
      <c r="A3" s="27" t="s">
        <v>130</v>
      </c>
      <c r="B3" s="21" t="s">
        <v>112</v>
      </c>
      <c r="C3" s="24">
        <v>1</v>
      </c>
      <c r="D3" s="20" t="s">
        <v>0</v>
      </c>
      <c r="E3" s="20" t="s">
        <v>12</v>
      </c>
      <c r="F3" s="20" t="s">
        <v>3</v>
      </c>
      <c r="G3" s="20" t="s">
        <v>16</v>
      </c>
      <c r="H3" s="20" t="s">
        <v>14</v>
      </c>
      <c r="I3" s="20" t="s">
        <v>42</v>
      </c>
      <c r="J3" s="20" t="s">
        <v>46</v>
      </c>
      <c r="K3" s="20" t="s">
        <v>13</v>
      </c>
      <c r="L3" s="19"/>
      <c r="M3" s="19"/>
      <c r="N3" s="19"/>
      <c r="O3" s="20" t="s">
        <v>24</v>
      </c>
      <c r="P3" s="20" t="s">
        <v>25</v>
      </c>
      <c r="Q3" s="20" t="s">
        <v>26</v>
      </c>
      <c r="R3" s="20" t="s">
        <v>11</v>
      </c>
      <c r="S3" s="20" t="s">
        <v>4</v>
      </c>
      <c r="T3" s="20" t="s">
        <v>6</v>
      </c>
      <c r="U3" s="20" t="s">
        <v>7</v>
      </c>
      <c r="V3" s="20" t="s">
        <v>20</v>
      </c>
      <c r="W3" s="20" t="s">
        <v>21</v>
      </c>
      <c r="X3" s="20" t="s">
        <v>22</v>
      </c>
    </row>
    <row r="4" spans="1:24" s="8" customFormat="1" x14ac:dyDescent="0.25"/>
    <row r="5" spans="1:24" s="8" customFormat="1" x14ac:dyDescent="0.25">
      <c r="A5" s="22"/>
    </row>
    <row r="6" spans="1:24" s="8" customFormat="1" x14ac:dyDescent="0.25">
      <c r="A6" s="22"/>
    </row>
    <row r="7" spans="1:24" s="8" customFormat="1" x14ac:dyDescent="0.25"/>
    <row r="8" spans="1:24" x14ac:dyDescent="0.25">
      <c r="A8" s="8" t="s">
        <v>125</v>
      </c>
      <c r="B8" s="8"/>
    </row>
    <row r="9" spans="1:24" x14ac:dyDescent="0.25">
      <c r="A9" s="14" t="s">
        <v>119</v>
      </c>
      <c r="B9" s="14" t="s">
        <v>121</v>
      </c>
    </row>
    <row r="10" spans="1:24" x14ac:dyDescent="0.25">
      <c r="A10" s="14" t="s">
        <v>120</v>
      </c>
      <c r="B10" s="14" t="s">
        <v>122</v>
      </c>
    </row>
    <row r="11" spans="1:24" x14ac:dyDescent="0.25">
      <c r="A11" s="14" t="s">
        <v>123</v>
      </c>
      <c r="B11" s="14" t="s">
        <v>124</v>
      </c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7_Click">
                <anchor moveWithCells="1" sizeWithCells="1">
                  <from>
                    <xdr:col>3</xdr:col>
                    <xdr:colOff>133350</xdr:colOff>
                    <xdr:row>8</xdr:row>
                    <xdr:rowOff>47625</xdr:rowOff>
                  </from>
                  <to>
                    <xdr:col>5</xdr:col>
                    <xdr:colOff>504825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'Amerihome Input File 11-15-21'!$1:$1</xm:f>
          </x14:formula1>
          <xm:sqref>D3:K3 O3:X3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data!$A$2:$A$46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4"/>
  <sheetViews>
    <sheetView tabSelected="1" workbookViewId="0">
      <selection activeCell="F11" sqref="F11"/>
    </sheetView>
  </sheetViews>
  <sheetFormatPr defaultRowHeight="15" x14ac:dyDescent="0.25"/>
  <cols>
    <col min="2" max="2" width="10.140625" style="6" customWidth="1"/>
    <col min="3" max="3" width="10.140625" customWidth="1"/>
    <col min="5" max="5" width="10.140625" bestFit="1" customWidth="1"/>
    <col min="6" max="6" width="14.5703125" bestFit="1" customWidth="1"/>
    <col min="7" max="7" width="13.28515625" bestFit="1" customWidth="1"/>
    <col min="9" max="10" width="10.140625" customWidth="1"/>
    <col min="11" max="11" width="10.140625" style="7" customWidth="1"/>
    <col min="12" max="12" width="10.140625" customWidth="1"/>
    <col min="13" max="13" width="10.140625" style="7" customWidth="1"/>
    <col min="14" max="14" width="12" style="7" customWidth="1"/>
    <col min="15" max="17" width="10.140625" customWidth="1"/>
    <col min="18" max="18" width="10.140625" bestFit="1" customWidth="1"/>
    <col min="20" max="21" width="9.140625" style="8"/>
  </cols>
  <sheetData>
    <row r="1" spans="1:24" x14ac:dyDescent="0.25">
      <c r="A1" s="12" t="str">
        <f>Config!A1</f>
        <v>B001</v>
      </c>
      <c r="B1" s="12" t="str">
        <f>Config!B1</f>
        <v>T030</v>
      </c>
      <c r="C1" s="12" t="str">
        <f>Config!C1</f>
        <v>T034</v>
      </c>
      <c r="D1" s="10" t="str">
        <f>Config!D1</f>
        <v>B004</v>
      </c>
      <c r="E1" s="10" t="str">
        <f>Config!E1</f>
        <v>B006</v>
      </c>
      <c r="F1" s="10" t="str">
        <f>Config!F1</f>
        <v>T033</v>
      </c>
      <c r="G1" s="10" t="str">
        <f>Config!G1</f>
        <v>B008</v>
      </c>
      <c r="H1" s="10" t="str">
        <f>Config!H1</f>
        <v>T021</v>
      </c>
      <c r="I1" s="10" t="str">
        <f>Config!I1</f>
        <v>B043</v>
      </c>
      <c r="J1" s="10" t="str">
        <f>Config!J1</f>
        <v>B025</v>
      </c>
      <c r="K1" s="10" t="str">
        <f>Config!K1</f>
        <v>B007</v>
      </c>
      <c r="L1" s="12" t="str">
        <f>Config!L1</f>
        <v>D004</v>
      </c>
      <c r="M1" s="12" t="str">
        <f>Config!M1</f>
        <v>T002</v>
      </c>
      <c r="N1" s="12" t="str">
        <f>Config!N1</f>
        <v>T001</v>
      </c>
      <c r="O1" s="10" t="str">
        <f>Config!O1</f>
        <v>T213</v>
      </c>
      <c r="P1" s="10" t="str">
        <f>Config!P1</f>
        <v>T094</v>
      </c>
      <c r="Q1" s="10" t="str">
        <f>Config!Q1</f>
        <v>T139</v>
      </c>
      <c r="R1" s="10" t="str">
        <f>Config!R1</f>
        <v>T036</v>
      </c>
      <c r="S1" s="10" t="str">
        <f>Config!S1</f>
        <v>T214</v>
      </c>
      <c r="T1" s="10" t="str">
        <f>Config!T1</f>
        <v>T215</v>
      </c>
      <c r="U1" s="10" t="str">
        <f>Config!U1</f>
        <v>T219</v>
      </c>
      <c r="V1" s="10" t="str">
        <f>Config!V1</f>
        <v>T031</v>
      </c>
      <c r="W1" s="10" t="str">
        <f>Config!W1</f>
        <v>T032</v>
      </c>
      <c r="X1" s="10" t="str">
        <f>Config!X1</f>
        <v>T199</v>
      </c>
    </row>
    <row r="2" spans="1:24" s="5" customFormat="1" ht="45" x14ac:dyDescent="0.25">
      <c r="A2" s="13" t="str">
        <f>Config!A2</f>
        <v>Loan Type</v>
      </c>
      <c r="B2" s="13" t="str">
        <f>Config!B2</f>
        <v>Model</v>
      </c>
      <c r="C2" s="13" t="str">
        <f>Config!C2</f>
        <v>Recovery Ratio</v>
      </c>
      <c r="D2" s="11" t="str">
        <f>Config!D2</f>
        <v>Loan ID</v>
      </c>
      <c r="E2" s="11" t="str">
        <f>Config!E2</f>
        <v>Principal</v>
      </c>
      <c r="F2" s="11" t="str">
        <f>Config!F2</f>
        <v>Issue Date/Age</v>
      </c>
      <c r="G2" s="11" t="str">
        <f>Config!G2</f>
        <v>Maturity Date</v>
      </c>
      <c r="H2" s="11" t="str">
        <f>Config!H2</f>
        <v>Amortization Term</v>
      </c>
      <c r="I2" s="11" t="str">
        <f>Config!I2</f>
        <v>Transaction Price</v>
      </c>
      <c r="J2" s="11" t="str">
        <f>Config!J2</f>
        <v>Structural CPR(%)</v>
      </c>
      <c r="K2" s="11" t="str">
        <f>Config!K2</f>
        <v>Coupon Rate</v>
      </c>
      <c r="L2" s="13" t="str">
        <f>Config!L2</f>
        <v>Servicing Fee/Cost(BP)</v>
      </c>
      <c r="M2" s="13" t="str">
        <f>Config!M2</f>
        <v>Index</v>
      </c>
      <c r="N2" s="13" t="str">
        <f>Config!N2</f>
        <v>Margin(BP)</v>
      </c>
      <c r="O2" s="11" t="str">
        <f>Config!O2</f>
        <v>Property City</v>
      </c>
      <c r="P2" s="11" t="str">
        <f>Config!P2</f>
        <v>Property State</v>
      </c>
      <c r="Q2" s="11" t="str">
        <f>Config!Q2</f>
        <v>ZIPCode</v>
      </c>
      <c r="R2" s="11" t="str">
        <f>Config!R2</f>
        <v>WAOLS</v>
      </c>
      <c r="S2" s="11" t="str">
        <f>Config!S2</f>
        <v>Loan Purpose</v>
      </c>
      <c r="T2" s="11" t="str">
        <f>Config!T2</f>
        <v>Property Type</v>
      </c>
      <c r="U2" s="11" t="str">
        <f>Config!U2</f>
        <v>Doc Type</v>
      </c>
      <c r="V2" s="11" t="str">
        <f>Config!V2</f>
        <v>FICO Score</v>
      </c>
      <c r="W2" s="11" t="str">
        <f>Config!W2</f>
        <v>LTV</v>
      </c>
      <c r="X2" s="11" t="str">
        <f>Config!X2</f>
        <v>DTI</v>
      </c>
    </row>
    <row r="3" spans="1:24" x14ac:dyDescent="0.25">
      <c r="A3" t="s">
        <v>130</v>
      </c>
      <c r="B3" s="6" t="s">
        <v>112</v>
      </c>
      <c r="C3">
        <v>1</v>
      </c>
      <c r="D3" s="8">
        <v>1394206</v>
      </c>
      <c r="E3" s="2">
        <v>101000</v>
      </c>
      <c r="F3" s="9">
        <v>44504</v>
      </c>
      <c r="G3" s="9">
        <v>50010</v>
      </c>
      <c r="H3" s="8">
        <v>180</v>
      </c>
      <c r="I3" s="9">
        <v>50010</v>
      </c>
      <c r="J3" s="8">
        <v>719</v>
      </c>
      <c r="K3" s="3">
        <v>2.5000000000000001E-2</v>
      </c>
      <c r="O3" s="8" t="s">
        <v>58</v>
      </c>
      <c r="P3" s="8" t="s">
        <v>59</v>
      </c>
      <c r="Q3" s="8">
        <v>1394206</v>
      </c>
      <c r="R3" s="2">
        <v>101000</v>
      </c>
      <c r="S3" s="8" t="s">
        <v>51</v>
      </c>
      <c r="T3" s="8" t="s">
        <v>53</v>
      </c>
      <c r="U3" s="8" t="s">
        <v>54</v>
      </c>
      <c r="V3" s="8">
        <v>719</v>
      </c>
      <c r="W3" s="3">
        <v>0.30599999999999999</v>
      </c>
      <c r="X3" s="3">
        <v>0.29899999999999999</v>
      </c>
    </row>
    <row r="4" spans="1:24" x14ac:dyDescent="0.25">
      <c r="A4" t="s">
        <v>130</v>
      </c>
      <c r="B4" s="6" t="s">
        <v>112</v>
      </c>
      <c r="C4">
        <v>1</v>
      </c>
      <c r="D4" s="8">
        <v>1417836</v>
      </c>
      <c r="E4" s="2">
        <v>95945</v>
      </c>
      <c r="F4" s="9">
        <v>44495</v>
      </c>
      <c r="G4" s="9">
        <v>49980</v>
      </c>
      <c r="H4" s="8">
        <v>180</v>
      </c>
      <c r="I4" s="9">
        <v>49980</v>
      </c>
      <c r="J4" s="8">
        <v>762</v>
      </c>
      <c r="K4" s="3">
        <v>2.5000000000000001E-2</v>
      </c>
      <c r="O4" s="8" t="s">
        <v>69</v>
      </c>
      <c r="P4" s="8" t="s">
        <v>70</v>
      </c>
      <c r="Q4" s="8">
        <v>1417836</v>
      </c>
      <c r="R4" s="2">
        <v>95945</v>
      </c>
      <c r="S4" s="8" t="s">
        <v>64</v>
      </c>
      <c r="T4" s="8" t="s">
        <v>65</v>
      </c>
      <c r="U4" s="8" t="s">
        <v>54</v>
      </c>
      <c r="V4" s="8">
        <v>762</v>
      </c>
      <c r="W4" s="3">
        <v>0.26800000000000002</v>
      </c>
      <c r="X4" s="3">
        <v>0.379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6"/>
  <sheetViews>
    <sheetView topLeftCell="A9" workbookViewId="0"/>
  </sheetViews>
  <sheetFormatPr defaultRowHeight="15" x14ac:dyDescent="0.25"/>
  <cols>
    <col min="1" max="1" width="34.28515625" bestFit="1" customWidth="1"/>
    <col min="2" max="2" width="14.28515625" bestFit="1" customWidth="1"/>
  </cols>
  <sheetData>
    <row r="1" spans="1:2" ht="45" customHeight="1" x14ac:dyDescent="0.25">
      <c r="A1" s="26" t="s">
        <v>126</v>
      </c>
      <c r="B1" s="26" t="s">
        <v>94</v>
      </c>
    </row>
    <row r="2" spans="1:2" s="8" customFormat="1" x14ac:dyDescent="0.25">
      <c r="B2" s="8" t="s">
        <v>129</v>
      </c>
    </row>
    <row r="3" spans="1:2" x14ac:dyDescent="0.25">
      <c r="A3" s="8" t="s">
        <v>130</v>
      </c>
      <c r="B3" t="s">
        <v>112</v>
      </c>
    </row>
    <row r="4" spans="1:2" x14ac:dyDescent="0.25">
      <c r="A4" s="8" t="s">
        <v>131</v>
      </c>
      <c r="B4" t="s">
        <v>128</v>
      </c>
    </row>
    <row r="5" spans="1:2" x14ac:dyDescent="0.25">
      <c r="A5" s="8" t="s">
        <v>132</v>
      </c>
    </row>
    <row r="6" spans="1:2" x14ac:dyDescent="0.25">
      <c r="A6" s="8" t="s">
        <v>133</v>
      </c>
    </row>
    <row r="7" spans="1:2" x14ac:dyDescent="0.25">
      <c r="A7" s="8" t="s">
        <v>134</v>
      </c>
    </row>
    <row r="8" spans="1:2" x14ac:dyDescent="0.25">
      <c r="A8" s="8" t="s">
        <v>135</v>
      </c>
    </row>
    <row r="9" spans="1:2" x14ac:dyDescent="0.25">
      <c r="A9" s="8" t="s">
        <v>136</v>
      </c>
    </row>
    <row r="10" spans="1:2" x14ac:dyDescent="0.25">
      <c r="A10" s="8" t="s">
        <v>137</v>
      </c>
    </row>
    <row r="11" spans="1:2" x14ac:dyDescent="0.25">
      <c r="A11" s="8" t="s">
        <v>138</v>
      </c>
    </row>
    <row r="12" spans="1:2" x14ac:dyDescent="0.25">
      <c r="A12" s="8" t="s">
        <v>139</v>
      </c>
    </row>
    <row r="13" spans="1:2" x14ac:dyDescent="0.25">
      <c r="A13" s="8" t="s">
        <v>140</v>
      </c>
    </row>
    <row r="14" spans="1:2" x14ac:dyDescent="0.25">
      <c r="A14" s="8" t="s">
        <v>141</v>
      </c>
    </row>
    <row r="15" spans="1:2" x14ac:dyDescent="0.25">
      <c r="A15" s="8" t="s">
        <v>142</v>
      </c>
    </row>
    <row r="16" spans="1:2" x14ac:dyDescent="0.25">
      <c r="A16" s="8" t="s">
        <v>143</v>
      </c>
    </row>
    <row r="17" spans="1:1" x14ac:dyDescent="0.25">
      <c r="A17" s="8" t="s">
        <v>144</v>
      </c>
    </row>
    <row r="18" spans="1:1" x14ac:dyDescent="0.25">
      <c r="A18" s="8" t="s">
        <v>145</v>
      </c>
    </row>
    <row r="19" spans="1:1" x14ac:dyDescent="0.25">
      <c r="A19" s="8" t="s">
        <v>146</v>
      </c>
    </row>
    <row r="20" spans="1:1" x14ac:dyDescent="0.25">
      <c r="A20" s="8" t="s">
        <v>147</v>
      </c>
    </row>
    <row r="21" spans="1:1" x14ac:dyDescent="0.25">
      <c r="A21" s="8" t="s">
        <v>127</v>
      </c>
    </row>
    <row r="22" spans="1:1" x14ac:dyDescent="0.25">
      <c r="A22" s="8" t="s">
        <v>148</v>
      </c>
    </row>
    <row r="23" spans="1:1" x14ac:dyDescent="0.25">
      <c r="A23" s="8" t="s">
        <v>149</v>
      </c>
    </row>
    <row r="24" spans="1:1" x14ac:dyDescent="0.25">
      <c r="A24" s="8" t="s">
        <v>149</v>
      </c>
    </row>
    <row r="25" spans="1:1" x14ac:dyDescent="0.25">
      <c r="A25" s="8" t="s">
        <v>149</v>
      </c>
    </row>
    <row r="26" spans="1:1" x14ac:dyDescent="0.25">
      <c r="A26" s="8" t="s">
        <v>149</v>
      </c>
    </row>
    <row r="27" spans="1:1" x14ac:dyDescent="0.25">
      <c r="A27" s="8" t="s">
        <v>150</v>
      </c>
    </row>
    <row r="28" spans="1:1" x14ac:dyDescent="0.25">
      <c r="A28" s="8" t="s">
        <v>150</v>
      </c>
    </row>
    <row r="29" spans="1:1" x14ac:dyDescent="0.25">
      <c r="A29" s="8" t="s">
        <v>149</v>
      </c>
    </row>
    <row r="30" spans="1:1" x14ac:dyDescent="0.25">
      <c r="A30" s="8" t="s">
        <v>149</v>
      </c>
    </row>
    <row r="31" spans="1:1" x14ac:dyDescent="0.25">
      <c r="A31" s="8" t="s">
        <v>149</v>
      </c>
    </row>
    <row r="32" spans="1:1" x14ac:dyDescent="0.25">
      <c r="A32" s="8" t="s">
        <v>149</v>
      </c>
    </row>
    <row r="33" spans="1:1" x14ac:dyDescent="0.25">
      <c r="A33" s="8" t="s">
        <v>151</v>
      </c>
    </row>
    <row r="34" spans="1:1" x14ac:dyDescent="0.25">
      <c r="A34" s="8" t="s">
        <v>151</v>
      </c>
    </row>
    <row r="35" spans="1:1" x14ac:dyDescent="0.25">
      <c r="A35" s="8" t="s">
        <v>152</v>
      </c>
    </row>
    <row r="36" spans="1:1" x14ac:dyDescent="0.25">
      <c r="A36" s="8" t="s">
        <v>153</v>
      </c>
    </row>
    <row r="37" spans="1:1" x14ac:dyDescent="0.25">
      <c r="A37" s="8" t="s">
        <v>154</v>
      </c>
    </row>
    <row r="38" spans="1:1" x14ac:dyDescent="0.25">
      <c r="A38" s="8" t="s">
        <v>155</v>
      </c>
    </row>
    <row r="39" spans="1:1" x14ac:dyDescent="0.25">
      <c r="A39" s="8" t="s">
        <v>156</v>
      </c>
    </row>
    <row r="40" spans="1:1" x14ac:dyDescent="0.25">
      <c r="A40" s="8" t="s">
        <v>157</v>
      </c>
    </row>
    <row r="41" spans="1:1" x14ac:dyDescent="0.25">
      <c r="A41" s="8" t="s">
        <v>158</v>
      </c>
    </row>
    <row r="42" spans="1:1" x14ac:dyDescent="0.25">
      <c r="A42" s="8" t="s">
        <v>159</v>
      </c>
    </row>
    <row r="43" spans="1:1" x14ac:dyDescent="0.25">
      <c r="A43" s="8" t="s">
        <v>160</v>
      </c>
    </row>
    <row r="44" spans="1:1" x14ac:dyDescent="0.25">
      <c r="A44" s="8" t="s">
        <v>160</v>
      </c>
    </row>
    <row r="45" spans="1:1" x14ac:dyDescent="0.25">
      <c r="A45" s="8" t="s">
        <v>161</v>
      </c>
    </row>
    <row r="46" spans="1:1" x14ac:dyDescent="0.25">
      <c r="A46" s="8" t="s">
        <v>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Amerihome Input File 11-15-21</vt:lpstr>
      <vt:lpstr>Config</vt:lpstr>
      <vt:lpstr>PATH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xmlai</dc:creator>
  <cp:lastModifiedBy>Administrator</cp:lastModifiedBy>
  <dcterms:created xsi:type="dcterms:W3CDTF">2022-03-02T09:18:26Z</dcterms:created>
  <dcterms:modified xsi:type="dcterms:W3CDTF">2022-03-03T14:58:20Z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https://test.thchf.com.cn/dy/ExcelWorkbook1.vsto|61aa094b-3945-4777-9371-26876c840160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5a7cd40f7f4e4253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35F69689-B558-4816-BA52-D1CEC4EC9085}">
  <ds:schemaRefs/>
</ds:datastoreItem>
</file>